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navSheth\THYNK\"/>
    </mc:Choice>
  </mc:AlternateContent>
  <xr:revisionPtr revIDLastSave="0" documentId="13_ncr:1_{00431AD3-F851-49BF-8EDB-95D3F84EE7DA}" xr6:coauthVersionLast="47" xr6:coauthVersionMax="47" xr10:uidLastSave="{00000000-0000-0000-0000-000000000000}"/>
  <bookViews>
    <workbookView xWindow="-120" yWindow="-120" windowWidth="29040" windowHeight="15720" xr2:uid="{10DE783A-003C-4FE2-BA75-55F6CD939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" l="1"/>
  <c r="D26" i="1"/>
  <c r="C26" i="1"/>
  <c r="D25" i="1"/>
  <c r="C25" i="1"/>
  <c r="D24" i="1"/>
  <c r="C24" i="1"/>
  <c r="B15" i="1"/>
  <c r="B14" i="1"/>
  <c r="B9" i="1"/>
  <c r="D9" i="1"/>
  <c r="C9" i="1"/>
  <c r="B18" i="1" l="1"/>
</calcChain>
</file>

<file path=xl/sharedStrings.xml><?xml version="1.0" encoding="utf-8"?>
<sst xmlns="http://schemas.openxmlformats.org/spreadsheetml/2006/main" count="48" uniqueCount="37">
  <si>
    <t>Student</t>
  </si>
  <si>
    <t>School</t>
  </si>
  <si>
    <t>Parents</t>
  </si>
  <si>
    <t>Workbook</t>
  </si>
  <si>
    <t>Paper Size</t>
  </si>
  <si>
    <t>A5</t>
  </si>
  <si>
    <t>Pages</t>
  </si>
  <si>
    <t>Paper quality</t>
  </si>
  <si>
    <t>170 GSM</t>
  </si>
  <si>
    <t>130 GSM</t>
  </si>
  <si>
    <t>glossy</t>
  </si>
  <si>
    <t>laminated front and back</t>
  </si>
  <si>
    <t>Lamination</t>
  </si>
  <si>
    <t>Quantity</t>
  </si>
  <si>
    <t>Cost</t>
  </si>
  <si>
    <t>Cost per Piece</t>
  </si>
  <si>
    <t>A4</t>
  </si>
  <si>
    <t>300 GSM front and back, 130 GSM inner pages</t>
  </si>
  <si>
    <t>Paper Quality</t>
  </si>
  <si>
    <t>Binding type</t>
  </si>
  <si>
    <t>Pinning</t>
  </si>
  <si>
    <t>Cost per student</t>
  </si>
  <si>
    <t>workbook</t>
  </si>
  <si>
    <t>GST</t>
  </si>
  <si>
    <t xml:space="preserve">Accounting </t>
  </si>
  <si>
    <t>Misc</t>
  </si>
  <si>
    <t>Cost per course</t>
  </si>
  <si>
    <t>School Share (20%)</t>
  </si>
  <si>
    <t>School Share (30%)</t>
  </si>
  <si>
    <t>Total</t>
  </si>
  <si>
    <t>THYNK Share</t>
  </si>
  <si>
    <t>Pamphlets</t>
  </si>
  <si>
    <t>Glue</t>
  </si>
  <si>
    <t>cost per student</t>
  </si>
  <si>
    <t>Registration</t>
  </si>
  <si>
    <t>designinig + printing</t>
  </si>
  <si>
    <t>bank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</si>
</sst>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39]#,##0.00"/>
    <numFmt numFmtId="165" formatCode="[$₹-4009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ont="1" applyFill="1" applyBorder="1"/>
    <xf numFmtId="0" fontId="0" fillId="0" borderId="1" xfId="0" applyFont="1" applyFill="1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0" fillId="2" borderId="1" xfId="0" applyNumberFormat="1" applyFill="1" applyBorder="1"/>
    <xf numFmtId="165" fontId="0" fillId="3" borderId="1" xfId="0" applyNumberFormat="1" applyFill="1" applyBorder="1"/>
    <xf numFmtId="0" fontId="0" fillId="3" borderId="1" xfId="0" applyFont="1" applyFill="1" applyBorder="1"/>
    <xf numFmtId="0" fontId="0" fillId="4" borderId="1" xfId="0" applyFont="1" applyFill="1" applyBorder="1"/>
    <xf numFmtId="0" fontId="0" fillId="4" borderId="1" xfId="0" applyFill="1" applyBorder="1"/>
    <xf numFmtId="165" fontId="0" fillId="4" borderId="1" xfId="0" applyNumberFormat="1" applyFill="1" applyBorder="1"/>
    <xf numFmtId="164" fontId="0" fillId="2" borderId="1" xfId="0" applyNumberForma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5FB7-1492-4178-AAA0-05B29374CF33}">
  <dimension ref="A1:J26"/>
  <sheetViews>
    <sheetView tabSelected="1" zoomScale="115" zoomScaleNormal="115" workbookViewId="0">
      <selection activeCell="K15" sqref="K15"/>
    </sheetView>
  </sheetViews>
  <sheetFormatPr defaultRowHeight="15" x14ac:dyDescent="0.25"/>
  <cols>
    <col min="1" max="1" width="18" bestFit="1" customWidth="1"/>
    <col min="2" max="2" width="23.42578125" bestFit="1" customWidth="1"/>
    <col min="3" max="4" width="18" bestFit="1" customWidth="1"/>
    <col min="5" max="5" width="9.7109375" bestFit="1" customWidth="1"/>
    <col min="6" max="6" width="13.7109375" bestFit="1" customWidth="1"/>
    <col min="7" max="7" width="41.5703125" bestFit="1" customWidth="1"/>
    <col min="8" max="8" width="8.85546875" bestFit="1" customWidth="1"/>
    <col min="9" max="9" width="19.28515625" bestFit="1" customWidth="1"/>
  </cols>
  <sheetData>
    <row r="1" spans="1:10" x14ac:dyDescent="0.25">
      <c r="A1" s="4"/>
      <c r="B1" s="4" t="s">
        <v>1</v>
      </c>
      <c r="C1" s="4" t="s">
        <v>2</v>
      </c>
      <c r="D1" s="4" t="s">
        <v>0</v>
      </c>
      <c r="F1" s="2"/>
      <c r="G1" s="5" t="s">
        <v>3</v>
      </c>
      <c r="H1" s="2"/>
    </row>
    <row r="2" spans="1:10" x14ac:dyDescent="0.25">
      <c r="A2" s="4" t="s">
        <v>4</v>
      </c>
      <c r="B2" s="2" t="s">
        <v>5</v>
      </c>
      <c r="C2" s="2" t="s">
        <v>5</v>
      </c>
      <c r="D2" s="2" t="s">
        <v>5</v>
      </c>
      <c r="F2" s="2" t="s">
        <v>4</v>
      </c>
      <c r="G2" s="6" t="s">
        <v>16</v>
      </c>
      <c r="H2" s="2"/>
    </row>
    <row r="3" spans="1:10" x14ac:dyDescent="0.25">
      <c r="A3" s="4" t="s">
        <v>6</v>
      </c>
      <c r="B3" s="2">
        <v>8</v>
      </c>
      <c r="C3" s="2">
        <v>4</v>
      </c>
      <c r="D3" s="2">
        <v>2</v>
      </c>
      <c r="F3" s="2" t="s">
        <v>6</v>
      </c>
      <c r="G3" s="6">
        <v>70</v>
      </c>
      <c r="H3" s="2"/>
    </row>
    <row r="4" spans="1:10" x14ac:dyDescent="0.25">
      <c r="A4" s="4" t="s">
        <v>7</v>
      </c>
      <c r="B4" s="2" t="s">
        <v>8</v>
      </c>
      <c r="C4" s="2" t="s">
        <v>9</v>
      </c>
      <c r="D4" s="2" t="s">
        <v>9</v>
      </c>
      <c r="F4" s="2" t="s">
        <v>18</v>
      </c>
      <c r="G4" s="6" t="s">
        <v>17</v>
      </c>
      <c r="H4" s="2"/>
    </row>
    <row r="5" spans="1:10" x14ac:dyDescent="0.25">
      <c r="A5" s="4"/>
      <c r="B5" s="2" t="s">
        <v>10</v>
      </c>
      <c r="C5" s="2" t="s">
        <v>10</v>
      </c>
      <c r="D5" s="2" t="s">
        <v>10</v>
      </c>
      <c r="F5" s="2" t="s">
        <v>12</v>
      </c>
      <c r="G5" s="2" t="s">
        <v>11</v>
      </c>
      <c r="H5" s="2"/>
    </row>
    <row r="6" spans="1:10" x14ac:dyDescent="0.25">
      <c r="A6" s="4" t="s">
        <v>12</v>
      </c>
      <c r="B6" s="2" t="s">
        <v>11</v>
      </c>
      <c r="C6" s="2"/>
      <c r="D6" s="2"/>
      <c r="F6" s="2" t="s">
        <v>13</v>
      </c>
      <c r="G6" s="6">
        <v>100</v>
      </c>
      <c r="H6" s="2"/>
    </row>
    <row r="7" spans="1:10" x14ac:dyDescent="0.25">
      <c r="A7" s="4" t="s">
        <v>13</v>
      </c>
      <c r="B7" s="2">
        <v>100</v>
      </c>
      <c r="C7" s="2">
        <v>1000</v>
      </c>
      <c r="D7" s="2">
        <v>2000</v>
      </c>
      <c r="F7" s="2" t="s">
        <v>19</v>
      </c>
      <c r="G7" s="6" t="s">
        <v>32</v>
      </c>
      <c r="H7" s="2" t="s">
        <v>20</v>
      </c>
    </row>
    <row r="8" spans="1:10" x14ac:dyDescent="0.25">
      <c r="A8" s="4" t="s">
        <v>14</v>
      </c>
      <c r="B8" s="3">
        <v>2400</v>
      </c>
      <c r="C8" s="3">
        <v>2500</v>
      </c>
      <c r="D8" s="3">
        <v>2500</v>
      </c>
      <c r="F8" s="18" t="s">
        <v>15</v>
      </c>
      <c r="G8" s="11">
        <v>170</v>
      </c>
      <c r="H8" s="11">
        <v>180</v>
      </c>
    </row>
    <row r="9" spans="1:10" x14ac:dyDescent="0.25">
      <c r="A9" s="9" t="s">
        <v>15</v>
      </c>
      <c r="B9" s="17">
        <f>B8/B7</f>
        <v>24</v>
      </c>
      <c r="C9" s="17">
        <f>C8/C7</f>
        <v>2.5</v>
      </c>
      <c r="D9" s="17">
        <f>D8/D7</f>
        <v>1.25</v>
      </c>
    </row>
    <row r="12" spans="1:10" x14ac:dyDescent="0.25">
      <c r="A12" s="5" t="s">
        <v>21</v>
      </c>
      <c r="B12" s="2"/>
      <c r="I12" t="s">
        <v>34</v>
      </c>
      <c r="J12">
        <v>25000</v>
      </c>
    </row>
    <row r="13" spans="1:10" x14ac:dyDescent="0.25">
      <c r="A13" s="8" t="s">
        <v>22</v>
      </c>
      <c r="B13" s="3">
        <v>200</v>
      </c>
      <c r="I13" t="s">
        <v>35</v>
      </c>
      <c r="J13">
        <v>4500</v>
      </c>
    </row>
    <row r="14" spans="1:10" x14ac:dyDescent="0.25">
      <c r="A14" s="8" t="s">
        <v>31</v>
      </c>
      <c r="B14" s="3">
        <f>24+25+12.5+8.5</f>
        <v>70</v>
      </c>
      <c r="J14">
        <v>20000</v>
      </c>
    </row>
    <row r="15" spans="1:10" x14ac:dyDescent="0.25">
      <c r="A15" s="8" t="s">
        <v>23</v>
      </c>
      <c r="B15" s="3">
        <f>(5400*0.18)</f>
        <v>972</v>
      </c>
      <c r="J15">
        <v>7500</v>
      </c>
    </row>
    <row r="16" spans="1:10" x14ac:dyDescent="0.25">
      <c r="A16" s="8" t="s">
        <v>24</v>
      </c>
      <c r="B16" s="3">
        <v>200</v>
      </c>
      <c r="J16">
        <v>10000</v>
      </c>
    </row>
    <row r="17" spans="1:10" x14ac:dyDescent="0.25">
      <c r="A17" s="8" t="s">
        <v>25</v>
      </c>
      <c r="B17" s="3">
        <v>258</v>
      </c>
      <c r="I17" t="s">
        <v>36</v>
      </c>
      <c r="J17">
        <v>25000</v>
      </c>
    </row>
    <row r="18" spans="1:10" x14ac:dyDescent="0.25">
      <c r="A18" s="9" t="s">
        <v>29</v>
      </c>
      <c r="B18" s="10">
        <f>SUM(B13:B17)</f>
        <v>1700</v>
      </c>
      <c r="J18">
        <f>SUM(J12:J17)</f>
        <v>92000</v>
      </c>
    </row>
    <row r="19" spans="1:10" x14ac:dyDescent="0.25">
      <c r="A19" s="7"/>
      <c r="B19" s="1"/>
    </row>
    <row r="20" spans="1:10" x14ac:dyDescent="0.25">
      <c r="B20" s="1"/>
    </row>
    <row r="23" spans="1:10" x14ac:dyDescent="0.25">
      <c r="A23" s="2"/>
      <c r="B23" s="2"/>
      <c r="C23" s="4" t="s">
        <v>27</v>
      </c>
      <c r="D23" s="4" t="s">
        <v>28</v>
      </c>
    </row>
    <row r="24" spans="1:10" x14ac:dyDescent="0.25">
      <c r="A24" s="13" t="s">
        <v>26</v>
      </c>
      <c r="B24" s="12">
        <v>5400</v>
      </c>
      <c r="C24" s="3">
        <f>B24*0.2</f>
        <v>1080</v>
      </c>
      <c r="D24" s="3">
        <f>B24*0.3</f>
        <v>1620</v>
      </c>
    </row>
    <row r="25" spans="1:10" x14ac:dyDescent="0.25">
      <c r="A25" s="13" t="s">
        <v>33</v>
      </c>
      <c r="B25" s="12"/>
      <c r="C25" s="3">
        <f>B18</f>
        <v>1700</v>
      </c>
      <c r="D25" s="3">
        <f>B18</f>
        <v>1700</v>
      </c>
    </row>
    <row r="26" spans="1:10" x14ac:dyDescent="0.25">
      <c r="A26" s="14" t="s">
        <v>30</v>
      </c>
      <c r="B26" s="15"/>
      <c r="C26" s="16">
        <f>B24-(C24+C25)</f>
        <v>2620</v>
      </c>
      <c r="D26" s="16">
        <f>B24-(D24+D25)</f>
        <v>2080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sheth</dc:creator>
  <cp:lastModifiedBy>pranav sheth</cp:lastModifiedBy>
  <dcterms:created xsi:type="dcterms:W3CDTF">2026-07-28T09:40:14Z</dcterms:created>
  <dcterms:modified xsi:type="dcterms:W3CDTF">2026-07-31T17:47:04Z</dcterms:modified>
</cp:coreProperties>
</file>